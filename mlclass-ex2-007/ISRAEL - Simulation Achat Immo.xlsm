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0225"/>
  <workbookPr autoCompressPictures="0"/>
  <bookViews>
    <workbookView xWindow="10980" yWindow="1940" windowWidth="37640" windowHeight="19380" firstSheet="1" activeTab="2"/>
  </bookViews>
  <sheets>
    <sheet name="___TREELAYOUTSHEET___" sheetId="4" state="veryHidden" r:id="rId1"/>
    <sheet name="NEUF" sheetId="1" r:id="rId2"/>
    <sheet name="ANCIEN" sheetId="2" r:id="rId3"/>
    <sheet name="Sheet3" sheetId="3" r:id="rId4"/>
    <sheet name="Sheet5" sheetId="5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2" l="1"/>
  <c r="O4" i="2"/>
  <c r="H4" i="2"/>
  <c r="L4" i="2"/>
  <c r="G35" i="1"/>
  <c r="H26" i="1"/>
  <c r="D24" i="1"/>
  <c r="E24" i="1"/>
  <c r="J4" i="1"/>
  <c r="L4" i="1"/>
  <c r="M4" i="1"/>
  <c r="C13" i="1"/>
  <c r="Q4" i="1"/>
  <c r="H18" i="2"/>
  <c r="N12" i="2"/>
  <c r="Q4" i="2"/>
  <c r="J18" i="1"/>
  <c r="D4" i="1"/>
  <c r="O4" i="1"/>
  <c r="D9" i="2"/>
  <c r="M4" i="2"/>
  <c r="P4" i="2"/>
  <c r="F9" i="1"/>
  <c r="F9" i="2"/>
  <c r="H9" i="1"/>
</calcChain>
</file>

<file path=xl/sharedStrings.xml><?xml version="1.0" encoding="utf-8"?>
<sst xmlns="http://schemas.openxmlformats.org/spreadsheetml/2006/main" count="53" uniqueCount="32">
  <si>
    <t>Prix du Bien</t>
  </si>
  <si>
    <t>Change EUR/ILS</t>
  </si>
  <si>
    <t>Massy</t>
  </si>
  <si>
    <t>BQ Israel</t>
  </si>
  <si>
    <t>Prêt</t>
  </si>
  <si>
    <t>Avocat</t>
  </si>
  <si>
    <t>Honoraires + TVA &amp; Taxes</t>
  </si>
  <si>
    <t>Agence</t>
  </si>
  <si>
    <t>Tax</t>
  </si>
  <si>
    <t>ILS</t>
  </si>
  <si>
    <t>EUR</t>
  </si>
  <si>
    <t>Reste BNP €</t>
  </si>
  <si>
    <t>Valeur €</t>
  </si>
  <si>
    <t>Prêt BQ Mikael €</t>
  </si>
  <si>
    <t>Frais</t>
  </si>
  <si>
    <t xml:space="preserve">Finacement Possible </t>
  </si>
  <si>
    <t>Trésorerie nécéssaire</t>
  </si>
  <si>
    <t>USD/JPY</t>
  </si>
  <si>
    <t>USD amount</t>
  </si>
  <si>
    <t>x</t>
  </si>
  <si>
    <t>Date</t>
  </si>
  <si>
    <t>Name</t>
  </si>
  <si>
    <t>Type</t>
  </si>
  <si>
    <t>Source</t>
  </si>
  <si>
    <t>Curve.USD.LIB.3M.RNE Discount Funding LIBUSD Refi EUR.109877</t>
  </si>
  <si>
    <t>Curve</t>
  </si>
  <si>
    <t>Matrix (Daily EUROPE.CRISTALIZED-&gt;Deposit,Future,CIMBasisSwap,CIMBasisFuture,Swap,CrossCurrencyBasisSwap; 0 OFFICIAL-&gt;VolatilityHWFuture,YearEnd,MeanReversion) - 17/03/2014 19:52:49</t>
  </si>
  <si>
    <t>Curve.JPY.LIB.6M.RNE Discount Funding LIBJPY Refi EUR.109885</t>
  </si>
  <si>
    <t>Matrix (Daily EUROPE.CRISTALIZED-&gt;CIMBasisSwap,Deposit,Future,CIMBasisFuture,Swap,CrossCurrencyBasisSwap; Daily SPOT PA.CRISTALIZED-&gt;FXSwap; 0 OFFICIAL-&gt;YearEnd,MeanReversion) - 17/03/2014 16:55:03</t>
  </si>
  <si>
    <t>FXSpot|USD|JPY|OFF - 101.610000 (Manual)</t>
  </si>
  <si>
    <t>FXSpot</t>
  </si>
  <si>
    <t>Trésorerie Dispo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</si>
</sst>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\ hh:mm:ss"/>
  </numFmts>
  <fonts count="3" x14ac:knownFonts="1">
    <font>
      <sz val="11"/>
      <color theme="1"/>
      <name val="Calibri"/>
      <family val="2"/>
      <scheme val="minor"/>
    </font>
    <font>
      <sz val="8"/>
      <color rgb="FFFFFFFF"/>
      <name val="Microsoft Sans Serif"/>
      <family val="2"/>
    </font>
    <font>
      <sz val="8"/>
      <name val="Microsoft Sans Serif"/>
      <family val="2"/>
    </font>
  </fonts>
  <fills count="5">
    <fill>
      <patternFill patternType="none"/>
    </fill>
    <fill>
      <patternFill patternType="gray125"/>
    </fill>
    <fill>
      <patternFill patternType="solid">
        <fgColor rgb="FF6495ED"/>
      </patternFill>
    </fill>
    <fill>
      <patternFill patternType="solid">
        <fgColor rgb="FFFFFACD"/>
      </patternFill>
    </fill>
    <fill>
      <patternFill patternType="solid">
        <fgColor rgb="FFF5D3C1"/>
      </patternFill>
    </fill>
  </fills>
  <borders count="22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1558E4"/>
      </left>
      <right style="thin">
        <color rgb="FF1558E4"/>
      </right>
      <top style="thin">
        <color rgb="FF1558E4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3" fontId="0" fillId="0" borderId="13" xfId="0" applyNumberFormat="1" applyBorder="1"/>
    <xf numFmtId="3" fontId="0" fillId="0" borderId="14" xfId="0" applyNumberFormat="1" applyBorder="1"/>
    <xf numFmtId="3" fontId="0" fillId="0" borderId="15" xfId="0" applyNumberFormat="1" applyBorder="1"/>
    <xf numFmtId="3" fontId="0" fillId="0" borderId="0" xfId="0" applyNumberFormat="1"/>
    <xf numFmtId="0" fontId="1" fillId="2" borderId="16" xfId="0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left" vertical="center"/>
    </xf>
    <xf numFmtId="0" fontId="2" fillId="3" borderId="17" xfId="0" applyFont="1" applyFill="1" applyBorder="1" applyAlignment="1">
      <alignment horizontal="left" vertical="center"/>
    </xf>
    <xf numFmtId="164" fontId="2" fillId="4" borderId="17" xfId="0" applyNumberFormat="1" applyFont="1" applyFill="1" applyBorder="1" applyAlignment="1">
      <alignment horizontal="left" vertical="center"/>
    </xf>
    <xf numFmtId="0" fontId="2" fillId="4" borderId="17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3" fontId="0" fillId="0" borderId="21" xfId="0" applyNumberFormat="1" applyBorder="1"/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Q35"/>
  <sheetViews>
    <sheetView topLeftCell="C1" workbookViewId="0">
      <selection activeCell="D19" sqref="D19"/>
    </sheetView>
  </sheetViews>
  <sheetFormatPr baseColWidth="10" defaultColWidth="8.83203125" defaultRowHeight="14" x14ac:dyDescent="0"/>
  <cols>
    <col min="3" max="4" width="11.5" bestFit="1" customWidth="1"/>
    <col min="5" max="5" width="10.6640625" bestFit="1" customWidth="1"/>
    <col min="6" max="6" width="20" bestFit="1" customWidth="1"/>
    <col min="8" max="8" width="20" bestFit="1" customWidth="1"/>
    <col min="9" max="9" width="13.5" customWidth="1"/>
    <col min="10" max="10" width="15.6640625" bestFit="1" customWidth="1"/>
    <col min="15" max="15" width="8.33203125" customWidth="1"/>
    <col min="16" max="16" width="9.5" customWidth="1"/>
    <col min="17" max="17" width="9" customWidth="1"/>
  </cols>
  <sheetData>
    <row r="1" spans="3:17" ht="15" thickBot="1"/>
    <row r="2" spans="3:17" ht="15" thickBot="1">
      <c r="C2" s="28" t="s">
        <v>0</v>
      </c>
      <c r="D2" s="30"/>
      <c r="H2" s="28" t="s">
        <v>2</v>
      </c>
      <c r="I2" s="29"/>
      <c r="J2" s="30"/>
      <c r="L2" s="31" t="s">
        <v>3</v>
      </c>
      <c r="M2" s="31"/>
      <c r="O2" s="28" t="s">
        <v>6</v>
      </c>
      <c r="P2" s="29"/>
      <c r="Q2" s="30"/>
    </row>
    <row r="3" spans="3:17" ht="15" thickBot="1">
      <c r="C3" s="10" t="s">
        <v>9</v>
      </c>
      <c r="D3" s="12" t="s">
        <v>10</v>
      </c>
      <c r="F3" t="s">
        <v>1</v>
      </c>
      <c r="H3" s="10" t="s">
        <v>12</v>
      </c>
      <c r="I3" s="11" t="s">
        <v>11</v>
      </c>
      <c r="J3" s="12" t="s">
        <v>13</v>
      </c>
      <c r="L3" t="s">
        <v>4</v>
      </c>
      <c r="M3" t="s">
        <v>14</v>
      </c>
      <c r="O3" s="7" t="s">
        <v>5</v>
      </c>
      <c r="P3" s="8" t="s">
        <v>7</v>
      </c>
      <c r="Q3" s="9" t="s">
        <v>8</v>
      </c>
    </row>
    <row r="4" spans="3:17" ht="15" thickBot="1">
      <c r="C4" s="14">
        <v>2285000</v>
      </c>
      <c r="D4" s="13">
        <f>C4/F4</f>
        <v>476041.66666666669</v>
      </c>
      <c r="F4">
        <v>4.8</v>
      </c>
      <c r="H4" s="14">
        <v>220000</v>
      </c>
      <c r="I4" s="15">
        <v>-45000</v>
      </c>
      <c r="J4" s="16">
        <f>H4-I4</f>
        <v>265000</v>
      </c>
      <c r="L4" s="17">
        <f>J4</f>
        <v>265000</v>
      </c>
      <c r="M4" s="17">
        <f>L4*0.006</f>
        <v>1590</v>
      </c>
      <c r="O4" s="4">
        <f>0.005*D4+0.005*D4*0.18</f>
        <v>2808.6458333333335</v>
      </c>
      <c r="P4" s="5"/>
      <c r="Q4" s="6">
        <f>C4*0.18/F4</f>
        <v>85687.5</v>
      </c>
    </row>
    <row r="8" spans="3:17">
      <c r="E8" s="1"/>
      <c r="F8" t="s">
        <v>15</v>
      </c>
      <c r="H8" t="s">
        <v>16</v>
      </c>
    </row>
    <row r="9" spans="3:17">
      <c r="F9" s="17">
        <f>J4+L4</f>
        <v>530000</v>
      </c>
      <c r="H9" s="17">
        <f>D4-F9+M4+O4+P4+Q4</f>
        <v>36127.812500000022</v>
      </c>
    </row>
    <row r="13" spans="3:17">
      <c r="C13">
        <f>60000/F4</f>
        <v>12500</v>
      </c>
    </row>
    <row r="17" spans="4:10">
      <c r="F17" s="2" t="s">
        <v>17</v>
      </c>
      <c r="H17" t="s">
        <v>18</v>
      </c>
    </row>
    <row r="18" spans="4:10">
      <c r="F18">
        <v>101.697</v>
      </c>
      <c r="G18" s="2" t="s">
        <v>19</v>
      </c>
      <c r="H18" s="17">
        <v>4500000</v>
      </c>
      <c r="J18">
        <f>H18*F18</f>
        <v>457636500</v>
      </c>
    </row>
    <row r="24" spans="4:10">
      <c r="D24">
        <f>0.4*C4</f>
        <v>914000</v>
      </c>
      <c r="E24">
        <f>D24/F4</f>
        <v>190416.66666666669</v>
      </c>
      <c r="H24">
        <v>3.2</v>
      </c>
    </row>
    <row r="25" spans="4:10">
      <c r="H25">
        <v>1.4</v>
      </c>
    </row>
    <row r="26" spans="4:10">
      <c r="H26">
        <f>H25*H24</f>
        <v>4.4799999999999995</v>
      </c>
    </row>
    <row r="33" spans="7:7">
      <c r="G33">
        <v>3.3</v>
      </c>
    </row>
    <row r="34" spans="7:7">
      <c r="G34">
        <v>2.9</v>
      </c>
    </row>
    <row r="35" spans="7:7">
      <c r="G35">
        <f>G34*G33</f>
        <v>9.5699999999999985</v>
      </c>
    </row>
  </sheetData>
  <mergeCells count="4">
    <mergeCell ref="H2:J2"/>
    <mergeCell ref="O2:Q2"/>
    <mergeCell ref="C2:D2"/>
    <mergeCell ref="L2:M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8"/>
  <sheetViews>
    <sheetView tabSelected="1" workbookViewId="0">
      <selection activeCell="O4" sqref="O4"/>
    </sheetView>
  </sheetViews>
  <sheetFormatPr baseColWidth="10" defaultColWidth="8.83203125" defaultRowHeight="14" x14ac:dyDescent="0"/>
  <cols>
    <col min="1" max="2" width="11.5" bestFit="1" customWidth="1"/>
    <col min="3" max="3" width="10.6640625" bestFit="1" customWidth="1"/>
    <col min="4" max="4" width="20" bestFit="1" customWidth="1"/>
    <col min="6" max="6" width="20" bestFit="1" customWidth="1"/>
    <col min="7" max="7" width="13.5" customWidth="1"/>
    <col min="8" max="8" width="15.6640625" bestFit="1" customWidth="1"/>
    <col min="10" max="10" width="10.1640625" customWidth="1"/>
    <col min="13" max="13" width="8.33203125" customWidth="1"/>
    <col min="14" max="14" width="9.5" customWidth="1"/>
    <col min="15" max="15" width="9" customWidth="1"/>
  </cols>
  <sheetData>
    <row r="1" spans="1:17" ht="15" thickBot="1"/>
    <row r="2" spans="1:17" ht="29" thickBot="1">
      <c r="A2" s="28" t="s">
        <v>0</v>
      </c>
      <c r="B2" s="30"/>
      <c r="F2" s="28" t="s">
        <v>2</v>
      </c>
      <c r="G2" s="29"/>
      <c r="H2" s="30"/>
      <c r="J2" s="27" t="s">
        <v>31</v>
      </c>
      <c r="L2" s="28" t="s">
        <v>3</v>
      </c>
      <c r="M2" s="30"/>
      <c r="O2" s="28" t="s">
        <v>6</v>
      </c>
      <c r="P2" s="29"/>
      <c r="Q2" s="30"/>
    </row>
    <row r="3" spans="1:17" ht="15" thickBot="1">
      <c r="A3" s="10" t="s">
        <v>9</v>
      </c>
      <c r="B3" s="12" t="s">
        <v>10</v>
      </c>
      <c r="D3" t="s">
        <v>1</v>
      </c>
      <c r="F3" s="10" t="s">
        <v>12</v>
      </c>
      <c r="G3" s="11" t="s">
        <v>11</v>
      </c>
      <c r="H3" s="12" t="s">
        <v>13</v>
      </c>
      <c r="L3" s="23" t="s">
        <v>4</v>
      </c>
      <c r="M3" s="24" t="s">
        <v>14</v>
      </c>
      <c r="O3" s="7" t="s">
        <v>5</v>
      </c>
      <c r="P3" s="8" t="s">
        <v>7</v>
      </c>
      <c r="Q3" s="9" t="s">
        <v>8</v>
      </c>
    </row>
    <row r="4" spans="1:17" ht="15" thickBot="1">
      <c r="A4" s="14">
        <v>2100000</v>
      </c>
      <c r="B4" s="13">
        <f>A4/D4</f>
        <v>437500</v>
      </c>
      <c r="D4">
        <v>4.8</v>
      </c>
      <c r="F4" s="14">
        <v>220000</v>
      </c>
      <c r="G4" s="15">
        <v>35000</v>
      </c>
      <c r="H4" s="16">
        <f>F4-G4</f>
        <v>185000</v>
      </c>
      <c r="J4">
        <v>40000</v>
      </c>
      <c r="L4" s="25">
        <f>H4+J4*2</f>
        <v>265000</v>
      </c>
      <c r="M4" s="26">
        <f>L4*0.006</f>
        <v>1590</v>
      </c>
      <c r="O4" s="4">
        <f>0.0075*B4+0.005*B4*0.18</f>
        <v>3675</v>
      </c>
      <c r="P4" s="5">
        <f>0.02*B4+0.02*B4*0.18</f>
        <v>10325</v>
      </c>
      <c r="Q4" s="6">
        <f>(0.05*1123910 + 0.06*(A4-1123910))/D4</f>
        <v>23908.520833333332</v>
      </c>
    </row>
    <row r="8" spans="1:17">
      <c r="C8" s="1"/>
      <c r="D8" t="s">
        <v>15</v>
      </c>
      <c r="F8" t="s">
        <v>16</v>
      </c>
    </row>
    <row r="9" spans="1:17">
      <c r="D9" s="17">
        <f>H4+L4</f>
        <v>450000</v>
      </c>
      <c r="F9" s="17">
        <f>B4-D9+M4+O4+P4+Q4</f>
        <v>26998.520833333332</v>
      </c>
    </row>
    <row r="12" spans="1:17">
      <c r="N12">
        <f>(0.05*1123910 + 0.06*(A4-1123910))/D4</f>
        <v>23908.520833333332</v>
      </c>
    </row>
    <row r="17" spans="4:8">
      <c r="D17" s="3" t="s">
        <v>17</v>
      </c>
      <c r="F17" t="s">
        <v>18</v>
      </c>
    </row>
    <row r="18" spans="4:8">
      <c r="D18">
        <v>101.697</v>
      </c>
      <c r="E18" s="3" t="s">
        <v>19</v>
      </c>
      <c r="F18" s="17">
        <v>4500000</v>
      </c>
      <c r="H18">
        <f>F18*D18</f>
        <v>457636500</v>
      </c>
    </row>
  </sheetData>
  <mergeCells count="4">
    <mergeCell ref="A2:B2"/>
    <mergeCell ref="F2:H2"/>
    <mergeCell ref="L2:M2"/>
    <mergeCell ref="O2:Q2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0" workbookViewId="0">
      <selection sqref="A1:B2"/>
    </sheetView>
  </sheetViews>
  <sheetFormatPr baseColWidth="10" defaultColWidth="8.83203125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/>
  </sheetViews>
  <sheetFormatPr baseColWidth="10" defaultColWidth="8.83203125" defaultRowHeight="14" x14ac:dyDescent="0"/>
  <cols>
    <col min="1" max="1" width="15.83203125" bestFit="1" customWidth="1"/>
  </cols>
  <sheetData>
    <row r="1" spans="1:4">
      <c r="A1" s="18" t="s">
        <v>20</v>
      </c>
      <c r="B1" s="18" t="s">
        <v>21</v>
      </c>
      <c r="C1" s="18" t="s">
        <v>22</v>
      </c>
      <c r="D1" s="18" t="s">
        <v>23</v>
      </c>
    </row>
    <row r="2" spans="1:4">
      <c r="A2" s="19">
        <v>41715.833333333299</v>
      </c>
      <c r="B2" s="20" t="s">
        <v>24</v>
      </c>
      <c r="C2" s="20" t="s">
        <v>25</v>
      </c>
      <c r="D2" s="20" t="s">
        <v>26</v>
      </c>
    </row>
    <row r="3" spans="1:4">
      <c r="A3" s="21">
        <v>41715.833333333299</v>
      </c>
      <c r="B3" s="22" t="s">
        <v>27</v>
      </c>
      <c r="C3" s="22" t="s">
        <v>25</v>
      </c>
      <c r="D3" s="22" t="s">
        <v>28</v>
      </c>
    </row>
    <row r="4" spans="1:4">
      <c r="A4" s="19">
        <v>41715</v>
      </c>
      <c r="B4" s="20" t="s">
        <v>29</v>
      </c>
      <c r="C4" s="20" t="s">
        <v>30</v>
      </c>
      <c r="D4" s="20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NEUF</vt:lpstr>
      <vt:lpstr>ANCIEN</vt:lpstr>
      <vt:lpstr>Sheet3</vt:lpstr>
      <vt:lpstr>Sheet5</vt:lpstr>
    </vt:vector>
  </TitlesOfParts>
  <Company>SOCIETE GENERALE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BERDUGO (uberdugo122613)</dc:creator>
  <cp:lastModifiedBy>Uriel Berdugo</cp:lastModifiedBy>
  <dcterms:created xsi:type="dcterms:W3CDTF">2014-09-30T12:41:26Z</dcterms:created>
  <dcterms:modified xsi:type="dcterms:W3CDTF">2014-11-09T00:44:35Z</dcterms:modified>
</cp:coreProperties>
</file>